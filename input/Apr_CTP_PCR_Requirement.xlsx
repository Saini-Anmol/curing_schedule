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5E40\EXCELCNV\5b5c62c7-4adc-4e69-afa7-ddd5982264a6\"/>
    </mc:Choice>
  </mc:AlternateContent>
  <xr:revisionPtr revIDLastSave="0" documentId="8_{368EF383-FDB8-4C69-A1C7-AEC40F27BDEE}" xr6:coauthVersionLast="47" xr6:coauthVersionMax="47" xr10:uidLastSave="{00000000-0000-0000-0000-000000000000}"/>
  <bookViews>
    <workbookView xWindow="-60" yWindow="-60" windowWidth="15480" windowHeight="11640" activeTab="1" xr2:uid="{74D52A10-7C94-4319-A943-E49275803294}"/>
  </bookViews>
  <sheets>
    <sheet name="Initial demand" sheetId="1" r:id="rId1"/>
    <sheet name="Revised iteration 1 dema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2" l="1"/>
  <c r="E48" i="2"/>
  <c r="E46" i="2"/>
  <c r="E49" i="2"/>
  <c r="E20" i="2"/>
  <c r="E43" i="2"/>
  <c r="E27" i="2"/>
  <c r="E18" i="2"/>
  <c r="E2" i="2"/>
  <c r="E8" i="2"/>
  <c r="E37" i="2"/>
  <c r="E24" i="2"/>
  <c r="E17" i="2"/>
  <c r="E11" i="2"/>
  <c r="E29" i="2"/>
  <c r="E25" i="2"/>
  <c r="E30" i="2"/>
  <c r="E6" i="2"/>
  <c r="E7" i="2"/>
  <c r="E35" i="2"/>
  <c r="E34" i="2"/>
  <c r="E23" i="2"/>
  <c r="E12" i="2"/>
  <c r="E22" i="2"/>
  <c r="E26" i="2"/>
  <c r="E44" i="2"/>
  <c r="E19" i="2"/>
  <c r="E38" i="2"/>
  <c r="E40" i="2"/>
  <c r="E32" i="2"/>
  <c r="E39" i="2"/>
  <c r="E41" i="2"/>
  <c r="E28" i="2"/>
  <c r="E21" i="2"/>
  <c r="E42" i="2"/>
  <c r="E3" i="2"/>
  <c r="E31" i="2"/>
  <c r="E36" i="2"/>
  <c r="E14" i="2"/>
  <c r="E15" i="2"/>
  <c r="E4" i="2"/>
  <c r="E10" i="2"/>
  <c r="E9" i="2"/>
  <c r="E16" i="2"/>
  <c r="E13" i="2"/>
  <c r="E5" i="2"/>
  <c r="E45" i="2"/>
  <c r="E33" i="2"/>
  <c r="C45" i="1"/>
  <c r="E45" i="1" s="1"/>
  <c r="C5" i="1"/>
  <c r="E5" i="1" s="1"/>
  <c r="C13" i="1"/>
  <c r="E13" i="1" s="1"/>
  <c r="C16" i="1"/>
  <c r="E16" i="1" s="1"/>
  <c r="C9" i="1"/>
  <c r="E9" i="1" s="1"/>
  <c r="C10" i="1"/>
  <c r="E10" i="1" s="1"/>
  <c r="C4" i="1"/>
  <c r="E4" i="1" s="1"/>
  <c r="C15" i="1"/>
  <c r="E15" i="1" s="1"/>
  <c r="C14" i="1"/>
  <c r="E14" i="1" s="1"/>
  <c r="C36" i="1"/>
  <c r="E36" i="1" s="1"/>
  <c r="C31" i="1"/>
  <c r="E31" i="1" s="1"/>
  <c r="C3" i="1"/>
  <c r="E3" i="1" s="1"/>
  <c r="C42" i="1"/>
  <c r="E42" i="1" s="1"/>
  <c r="C21" i="1"/>
  <c r="E21" i="1" s="1"/>
  <c r="C28" i="1"/>
  <c r="E28" i="1" s="1"/>
  <c r="C41" i="1"/>
  <c r="E41" i="1" s="1"/>
  <c r="C38" i="1"/>
  <c r="E38" i="1" s="1"/>
  <c r="C32" i="1"/>
  <c r="E32" i="1" s="1"/>
  <c r="C40" i="1"/>
  <c r="E40" i="1" s="1"/>
  <c r="C39" i="1"/>
  <c r="E39" i="1" s="1"/>
  <c r="C46" i="1"/>
  <c r="E46" i="1" s="1"/>
  <c r="C19" i="1"/>
  <c r="E19" i="1" s="1"/>
  <c r="C44" i="1"/>
  <c r="E44" i="1" s="1"/>
  <c r="C26" i="1"/>
  <c r="E26" i="1" s="1"/>
  <c r="C22" i="1"/>
  <c r="E22" i="1" s="1"/>
  <c r="C12" i="1"/>
  <c r="E12" i="1" s="1"/>
  <c r="C23" i="1"/>
  <c r="E23" i="1" s="1"/>
  <c r="C34" i="1"/>
  <c r="E34" i="1" s="1"/>
  <c r="C35" i="1"/>
  <c r="E35" i="1" s="1"/>
  <c r="C7" i="1"/>
  <c r="E7" i="1" s="1"/>
  <c r="C6" i="1"/>
  <c r="E6" i="1" s="1"/>
  <c r="C30" i="1"/>
  <c r="E30" i="1" s="1"/>
  <c r="C25" i="1"/>
  <c r="E25" i="1" s="1"/>
  <c r="C29" i="1"/>
  <c r="E29" i="1" s="1"/>
  <c r="C11" i="1"/>
  <c r="E11" i="1" s="1"/>
  <c r="C17" i="1"/>
  <c r="E17" i="1" s="1"/>
  <c r="C24" i="1"/>
  <c r="E24" i="1" s="1"/>
  <c r="C37" i="1"/>
  <c r="E37" i="1" s="1"/>
  <c r="C8" i="1"/>
  <c r="E8" i="1" s="1"/>
  <c r="C2" i="1"/>
  <c r="E2" i="1" s="1"/>
  <c r="C18" i="1"/>
  <c r="E18" i="1" s="1"/>
  <c r="C27" i="1"/>
  <c r="E27" i="1" s="1"/>
  <c r="C43" i="1"/>
  <c r="E43" i="1" s="1"/>
  <c r="C20" i="1"/>
  <c r="E20" i="1" s="1"/>
  <c r="C33" i="1"/>
  <c r="E33" i="1" s="1"/>
</calcChain>
</file>

<file path=xl/sharedStrings.xml><?xml version="1.0" encoding="utf-8"?>
<sst xmlns="http://schemas.openxmlformats.org/spreadsheetml/2006/main" count="197" uniqueCount="56">
  <si>
    <t>SKUCode</t>
  </si>
  <si>
    <t>Base_Requirement</t>
  </si>
  <si>
    <t>Updated_Requirement</t>
  </si>
  <si>
    <t>Order_Type</t>
  </si>
  <si>
    <t>ConsolidatedPriorityScore</t>
  </si>
  <si>
    <t>1D25215013008SXC10</t>
  </si>
  <si>
    <t>MTO</t>
  </si>
  <si>
    <t>1325221417096HURL0</t>
  </si>
  <si>
    <t>1325221318095HURL0</t>
  </si>
  <si>
    <t>Add new SKU data</t>
  </si>
  <si>
    <t>1325225518111HRHB0</t>
  </si>
  <si>
    <t>1325217515084HURL2</t>
  </si>
  <si>
    <t>1D25216814008QXPC0</t>
  </si>
  <si>
    <t>1D25215013008SXC1T</t>
  </si>
  <si>
    <t>1325222318098HRHE0</t>
  </si>
  <si>
    <t>1325214617107MSXT0</t>
  </si>
  <si>
    <t>1325216613079HUNE0</t>
  </si>
  <si>
    <t>1D25219Z14008SXC10</t>
  </si>
  <si>
    <t>1325225518111HRAT1</t>
  </si>
  <si>
    <t>1325223317103YLEV0</t>
  </si>
  <si>
    <t>1325223418103VETR0</t>
  </si>
  <si>
    <t>1325222418104HUX10</t>
  </si>
  <si>
    <t>1325215813079TUNE3</t>
  </si>
  <si>
    <t>MTS</t>
  </si>
  <si>
    <t>1D25214012008QXPCT</t>
  </si>
  <si>
    <t>1325219515091HURL2</t>
  </si>
  <si>
    <t>1325214812074TUHL0</t>
  </si>
  <si>
    <t>1325224716111SELS0</t>
  </si>
  <si>
    <t>1225219Z15008SXC11</t>
  </si>
  <si>
    <t>1D25218014010RXPCT</t>
  </si>
  <si>
    <t>1325215813079TUNE5</t>
  </si>
  <si>
    <t>1325218614088TTMX0</t>
  </si>
  <si>
    <t>1325221715100SRAT0</t>
  </si>
  <si>
    <t>1D25114012008QXPC0</t>
  </si>
  <si>
    <t>1325223616105TRAT0</t>
  </si>
  <si>
    <t>1325215514075TUNE0</t>
  </si>
  <si>
    <t>1325218514086HUTR0</t>
  </si>
  <si>
    <t>1325220416092HRHT0</t>
  </si>
  <si>
    <t>1325218316083HURL0</t>
  </si>
  <si>
    <t>1325214812074TTMX0</t>
  </si>
  <si>
    <t>1D25118014010RXPC0</t>
  </si>
  <si>
    <t>1D25218Z14008QXPC0</t>
  </si>
  <si>
    <t>1325223517104TRXT0</t>
  </si>
  <si>
    <t>1325214813075SUHL0</t>
  </si>
  <si>
    <t>1325221516098HRHT0</t>
  </si>
  <si>
    <t>1325219416089VRHE0</t>
  </si>
  <si>
    <t>1325221416095VRHE1</t>
  </si>
  <si>
    <t>1325223616109SELZ0</t>
  </si>
  <si>
    <t>1325221416095VURP0</t>
  </si>
  <si>
    <t>1325216612077TUSP0</t>
  </si>
  <si>
    <t>1325226517112HRHT1</t>
  </si>
  <si>
    <t>1325226617118QRMT0</t>
  </si>
  <si>
    <t>1325224716120NRMT0</t>
  </si>
  <si>
    <t>1325231015109QRMT0</t>
  </si>
  <si>
    <t>1325223418103HRHP0</t>
  </si>
  <si>
    <t>1325215513073TUNE0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</si>
</sst>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9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 vertical="top"/>
    </xf>
    <xf numFmtId="1" fontId="18" fillId="0" borderId="0" xfId="0" applyNumberFormat="1" applyFont="1" applyAlignment="1">
      <alignment horizontal="left" vertical="top"/>
    </xf>
    <xf numFmtId="1" fontId="20" fillId="33" borderId="11" xfId="42" applyNumberFormat="1" applyFont="1" applyFill="1" applyBorder="1" applyAlignment="1">
      <alignment horizontal="left" vertical="top" wrapText="1"/>
    </xf>
    <xf numFmtId="1" fontId="20" fillId="34" borderId="11" xfId="42" applyNumberFormat="1" applyFont="1" applyFill="1" applyBorder="1" applyAlignment="1">
      <alignment horizontal="left" vertical="top" wrapText="1"/>
    </xf>
    <xf numFmtId="1" fontId="20" fillId="34" borderId="12" xfId="42" applyNumberFormat="1" applyFont="1" applyFill="1" applyBorder="1" applyAlignment="1">
      <alignment horizontal="left" vertical="top" wrapText="1"/>
    </xf>
    <xf numFmtId="1" fontId="20" fillId="33" borderId="14" xfId="42" applyNumberFormat="1" applyFont="1" applyFill="1" applyBorder="1" applyAlignment="1">
      <alignment horizontal="left" vertical="top" wrapText="1"/>
    </xf>
    <xf numFmtId="1" fontId="20" fillId="33" borderId="12" xfId="42" applyNumberFormat="1" applyFont="1" applyFill="1" applyBorder="1" applyAlignment="1">
      <alignment horizontal="left" vertical="top" wrapText="1"/>
    </xf>
    <xf numFmtId="1" fontId="20" fillId="33" borderId="15" xfId="42" applyNumberFormat="1" applyFont="1" applyFill="1" applyBorder="1" applyAlignment="1">
      <alignment horizontal="left" vertical="top" wrapText="1"/>
    </xf>
    <xf numFmtId="1" fontId="20" fillId="34" borderId="14" xfId="42" applyNumberFormat="1" applyFont="1" applyFill="1" applyBorder="1" applyAlignment="1">
      <alignment horizontal="left" vertical="top"/>
    </xf>
    <xf numFmtId="0" fontId="18" fillId="0" borderId="0" xfId="0" applyFont="1" applyAlignment="1">
      <alignment horizontal="left"/>
    </xf>
    <xf numFmtId="1" fontId="18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20" fillId="33" borderId="11" xfId="42" applyNumberFormat="1" applyFont="1" applyFill="1" applyBorder="1" applyAlignment="1">
      <alignment horizontal="left" wrapText="1"/>
    </xf>
    <xf numFmtId="1" fontId="20" fillId="34" borderId="11" xfId="42" applyNumberFormat="1" applyFont="1" applyFill="1" applyBorder="1" applyAlignment="1">
      <alignment horizontal="left" wrapText="1"/>
    </xf>
    <xf numFmtId="1" fontId="20" fillId="34" borderId="12" xfId="42" applyNumberFormat="1" applyFont="1" applyFill="1" applyBorder="1" applyAlignment="1">
      <alignment horizontal="left" wrapText="1"/>
    </xf>
    <xf numFmtId="1" fontId="20" fillId="33" borderId="14" xfId="42" applyNumberFormat="1" applyFont="1" applyFill="1" applyBorder="1" applyAlignment="1">
      <alignment horizontal="left" wrapText="1"/>
    </xf>
    <xf numFmtId="1" fontId="20" fillId="33" borderId="12" xfId="42" applyNumberFormat="1" applyFont="1" applyFill="1" applyBorder="1" applyAlignment="1">
      <alignment horizontal="left" wrapText="1"/>
    </xf>
    <xf numFmtId="1" fontId="20" fillId="33" borderId="15" xfId="42" applyNumberFormat="1" applyFont="1" applyFill="1" applyBorder="1" applyAlignment="1">
      <alignment horizontal="left" wrapText="1"/>
    </xf>
    <xf numFmtId="1" fontId="20" fillId="34" borderId="14" xfId="42" applyNumberFormat="1" applyFont="1" applyFill="1" applyBorder="1" applyAlignment="1">
      <alignment horizontal="left"/>
    </xf>
    <xf numFmtId="1" fontId="20" fillId="34" borderId="15" xfId="42" applyNumberFormat="1" applyFont="1" applyFill="1" applyBorder="1" applyAlignment="1">
      <alignment horizontal="left" vertical="top"/>
    </xf>
    <xf numFmtId="1" fontId="20" fillId="33" borderId="17" xfId="42" applyNumberFormat="1" applyFont="1" applyFill="1" applyBorder="1" applyAlignment="1">
      <alignment horizontal="left" vertical="top" wrapText="1"/>
    </xf>
    <xf numFmtId="1" fontId="20" fillId="34" borderId="11" xfId="42" applyNumberFormat="1" applyFont="1" applyFill="1" applyBorder="1" applyAlignment="1">
      <alignment horizontal="left" vertical="top"/>
    </xf>
    <xf numFmtId="1" fontId="20" fillId="34" borderId="14" xfId="42" applyNumberFormat="1" applyFont="1" applyFill="1" applyBorder="1" applyAlignment="1">
      <alignment horizontal="left" vertical="top" wrapText="1"/>
    </xf>
    <xf numFmtId="1" fontId="20" fillId="34" borderId="10" xfId="42" applyNumberFormat="1" applyFont="1" applyFill="1" applyBorder="1" applyAlignment="1">
      <alignment horizontal="left" vertical="top" wrapText="1"/>
    </xf>
    <xf numFmtId="1" fontId="20" fillId="34" borderId="16" xfId="42" applyNumberFormat="1" applyFont="1" applyFill="1" applyBorder="1" applyAlignment="1">
      <alignment horizontal="left" vertical="top" wrapText="1"/>
    </xf>
    <xf numFmtId="1" fontId="20" fillId="34" borderId="10" xfId="43" applyNumberFormat="1" applyFont="1" applyFill="1" applyBorder="1" applyAlignment="1">
      <alignment horizontal="left" vertical="top"/>
    </xf>
    <xf numFmtId="1" fontId="20" fillId="34" borderId="18" xfId="42" applyNumberFormat="1" applyFont="1" applyFill="1" applyBorder="1" applyAlignment="1">
      <alignment horizontal="left" vertical="top" wrapText="1"/>
    </xf>
    <xf numFmtId="1" fontId="20" fillId="34" borderId="13" xfId="42" applyNumberFormat="1" applyFont="1" applyFill="1" applyBorder="1" applyAlignment="1">
      <alignment horizontal="left" vertical="top"/>
    </xf>
    <xf numFmtId="1" fontId="21" fillId="35" borderId="15" xfId="42" applyNumberFormat="1" applyFont="1" applyFill="1" applyBorder="1" applyAlignment="1">
      <alignment horizontal="left" vertical="top"/>
    </xf>
    <xf numFmtId="1" fontId="20" fillId="33" borderId="14" xfId="42" applyNumberFormat="1" applyFont="1" applyFill="1" applyBorder="1" applyAlignment="1">
      <alignment horizontal="left" vertical="top"/>
    </xf>
    <xf numFmtId="1" fontId="20" fillId="34" borderId="10" xfId="42" applyNumberFormat="1" applyFont="1" applyFill="1" applyBorder="1" applyAlignment="1">
      <alignment horizontal="left" wrapText="1"/>
    </xf>
    <xf numFmtId="1" fontId="20" fillId="34" borderId="16" xfId="42" applyNumberFormat="1" applyFont="1" applyFill="1" applyBorder="1" applyAlignment="1">
      <alignment horizontal="left" wrapText="1"/>
    </xf>
    <xf numFmtId="1" fontId="20" fillId="34" borderId="11" xfId="42" applyNumberFormat="1" applyFont="1" applyFill="1" applyBorder="1" applyAlignment="1">
      <alignment horizontal="left"/>
    </xf>
    <xf numFmtId="1" fontId="20" fillId="34" borderId="10" xfId="43" applyNumberFormat="1" applyFont="1" applyFill="1" applyBorder="1" applyAlignment="1">
      <alignment horizontal="left"/>
    </xf>
    <xf numFmtId="1" fontId="20" fillId="33" borderId="17" xfId="42" applyNumberFormat="1" applyFont="1" applyFill="1" applyBorder="1" applyAlignment="1">
      <alignment horizontal="left" wrapText="1"/>
    </xf>
    <xf numFmtId="1" fontId="20" fillId="34" borderId="15" xfId="42" applyNumberFormat="1" applyFont="1" applyFill="1" applyBorder="1" applyAlignment="1">
      <alignment horizontal="left"/>
    </xf>
    <xf numFmtId="1" fontId="20" fillId="34" borderId="14" xfId="42" applyNumberFormat="1" applyFont="1" applyFill="1" applyBorder="1" applyAlignment="1">
      <alignment horizontal="left" wrapText="1"/>
    </xf>
    <xf numFmtId="1" fontId="20" fillId="34" borderId="18" xfId="42" applyNumberFormat="1" applyFont="1" applyFill="1" applyBorder="1" applyAlignment="1">
      <alignment horizontal="left" wrapText="1"/>
    </xf>
    <xf numFmtId="1" fontId="20" fillId="34" borderId="13" xfId="42" applyNumberFormat="1" applyFont="1" applyFill="1" applyBorder="1" applyAlignment="1">
      <alignment horizontal="left"/>
    </xf>
    <xf numFmtId="1" fontId="21" fillId="35" borderId="15" xfId="42" applyNumberFormat="1" applyFont="1" applyFill="1" applyBorder="1" applyAlignment="1">
      <alignment horizontal="left"/>
    </xf>
    <xf numFmtId="1" fontId="20" fillId="33" borderId="14" xfId="42" applyNumberFormat="1" applyFont="1" applyFill="1" applyBorder="1" applyAlignment="1">
      <alignment horizontal="left"/>
    </xf>
    <xf numFmtId="0" fontId="0" fillId="36" borderId="0" xfId="0" applyFill="1" applyAlignment="1">
      <alignment horizontal="left"/>
    </xf>
    <xf numFmtId="0" fontId="18" fillId="36" borderId="0" xfId="0" applyFont="1" applyFill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 2" xfId="42" xr:uid="{467C4481-8228-4FC2-AAE5-C0C2D78BB719}"/>
    <cellStyle name="Normal_APPCurecyle&amp;ProductWeight1" xfId="43" xr:uid="{610C8765-01D5-426E-80DE-1AE00FAF1F5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A223-6FDB-4432-9A97-EDEEAE3E92EF}">
  <dimension ref="A1:F46"/>
  <sheetViews>
    <sheetView workbookViewId="0">
      <selection activeCell="E2" sqref="E2"/>
    </sheetView>
  </sheetViews>
  <sheetFormatPr defaultRowHeight="15"/>
  <cols>
    <col min="1" max="1" width="22.28515625" style="1" bestFit="1" customWidth="1"/>
    <col min="2" max="2" width="18" style="1" bestFit="1" customWidth="1"/>
    <col min="3" max="3" width="21.5703125" style="1" bestFit="1" customWidth="1"/>
    <col min="4" max="4" width="11.5703125" style="1" bestFit="1" customWidth="1"/>
    <col min="5" max="5" width="24.28515625" style="1" bestFit="1" customWidth="1"/>
    <col min="6" max="6" width="17.42578125" style="1" bestFit="1" customWidth="1"/>
    <col min="7" max="16384" width="9.140625" style="1"/>
  </cols>
  <sheetData>
    <row r="1" spans="1:6">
      <c r="A1" s="2" t="s">
        <v>0</v>
      </c>
      <c r="B1" t="s">
        <v>1</v>
      </c>
      <c r="C1" s="3" t="s">
        <v>2</v>
      </c>
      <c r="D1" s="3" t="s">
        <v>3</v>
      </c>
      <c r="E1" s="2" t="s">
        <v>4</v>
      </c>
    </row>
    <row r="2" spans="1:6">
      <c r="A2" s="2" t="s">
        <v>5</v>
      </c>
      <c r="B2" s="3">
        <v>67839.12000000001</v>
      </c>
      <c r="C2" s="3">
        <f>1.1*B2</f>
        <v>74623.032000000021</v>
      </c>
      <c r="D2" s="25" t="s">
        <v>6</v>
      </c>
      <c r="E2" s="2">
        <f>IF(D2="MTS", 1 + (C2/427467), IF(D2="MTO", 2 + (C2/427467), ""))</f>
        <v>2.1745702756002219</v>
      </c>
    </row>
    <row r="3" spans="1:6">
      <c r="A3" s="2" t="s">
        <v>7</v>
      </c>
      <c r="B3" s="3">
        <v>32428.842352941181</v>
      </c>
      <c r="C3" s="3">
        <f>1.1*B3</f>
        <v>35671.726588235302</v>
      </c>
      <c r="D3" s="25" t="s">
        <v>6</v>
      </c>
      <c r="E3" s="2">
        <f>IF(D3="MTS", 1 + (C3/427467), IF(D3="MTO", 2 + (C3/427467), ""))</f>
        <v>2.0834490769772529</v>
      </c>
    </row>
    <row r="4" spans="1:6">
      <c r="A4" s="2" t="s">
        <v>8</v>
      </c>
      <c r="B4" s="3">
        <v>20241.27</v>
      </c>
      <c r="C4" s="3">
        <f>1.1*B4</f>
        <v>22265.397000000001</v>
      </c>
      <c r="D4" s="27" t="s">
        <v>6</v>
      </c>
      <c r="E4" s="2">
        <f>IF(D4="MTS", 1 + (C4/427467), IF(D4="MTO", 2 + (C4/427467), ""))</f>
        <v>2.0520868207370393</v>
      </c>
      <c r="F4" s="1" t="s">
        <v>9</v>
      </c>
    </row>
    <row r="5" spans="1:6">
      <c r="A5" s="2" t="s">
        <v>10</v>
      </c>
      <c r="B5" s="3">
        <v>18090.432000000004</v>
      </c>
      <c r="C5" s="3">
        <f>1.1*B5</f>
        <v>19899.475200000008</v>
      </c>
      <c r="D5" s="23" t="s">
        <v>6</v>
      </c>
      <c r="E5" s="2">
        <f>IF(D5="MTS", 1 + (C5/427467), IF(D5="MTO", 2 + (C5/427467), ""))</f>
        <v>2.0465520734933924</v>
      </c>
    </row>
    <row r="6" spans="1:6">
      <c r="A6" s="2" t="s">
        <v>11</v>
      </c>
      <c r="B6" s="3">
        <v>13645.8</v>
      </c>
      <c r="C6" s="3">
        <f>1.1*B6</f>
        <v>15010.380000000001</v>
      </c>
      <c r="D6" s="4" t="s">
        <v>6</v>
      </c>
      <c r="E6" s="2">
        <f>IF(D6="MTS", 1 + (C6/427467), IF(D6="MTO", 2 + (C6/427467), ""))</f>
        <v>2.03511471060924</v>
      </c>
    </row>
    <row r="7" spans="1:6">
      <c r="A7" s="2" t="s">
        <v>12</v>
      </c>
      <c r="B7" s="3">
        <v>12834.428108108106</v>
      </c>
      <c r="C7" s="3">
        <f>1.1*B7</f>
        <v>14117.870918918918</v>
      </c>
      <c r="D7" s="8" t="s">
        <v>6</v>
      </c>
      <c r="E7" s="2">
        <f>IF(D7="MTS", 1 + (C7/427467), IF(D7="MTO", 2 + (C7/427467), ""))</f>
        <v>2.0330268088973393</v>
      </c>
    </row>
    <row r="8" spans="1:6">
      <c r="A8" s="2" t="s">
        <v>13</v>
      </c>
      <c r="B8" s="3">
        <v>12476.160000000002</v>
      </c>
      <c r="C8" s="3">
        <f>1.1*B8</f>
        <v>13723.776000000003</v>
      </c>
      <c r="D8" s="6" t="s">
        <v>6</v>
      </c>
      <c r="E8" s="2">
        <f>IF(D8="MTS", 1 + (C8/427467), IF(D8="MTO", 2 + (C8/427467), ""))</f>
        <v>2.0321048782713054</v>
      </c>
    </row>
    <row r="9" spans="1:6">
      <c r="A9" s="2" t="s">
        <v>14</v>
      </c>
      <c r="B9" s="3">
        <v>5282.2451612903224</v>
      </c>
      <c r="C9" s="3">
        <f>1.1*B9</f>
        <v>5810.4696774193553</v>
      </c>
      <c r="D9" s="29" t="s">
        <v>6</v>
      </c>
      <c r="E9" s="2">
        <f>IF(D9="MTS", 1 + (C9/427467), IF(D9="MTO", 2 + (C9/427467), ""))</f>
        <v>2.0135927912035769</v>
      </c>
    </row>
    <row r="10" spans="1:6">
      <c r="A10" s="2" t="s">
        <v>15</v>
      </c>
      <c r="B10" s="3">
        <v>5106.170322580645</v>
      </c>
      <c r="C10" s="3">
        <f>1.1*B10</f>
        <v>5616.7873548387097</v>
      </c>
      <c r="D10" s="10" t="s">
        <v>6</v>
      </c>
      <c r="E10" s="2">
        <f>IF(D10="MTS", 1 + (C10/427467), IF(D10="MTO", 2 + (C10/427467), ""))</f>
        <v>2.0131396981634575</v>
      </c>
    </row>
    <row r="11" spans="1:6">
      <c r="A11" s="2" t="s">
        <v>16</v>
      </c>
      <c r="B11" s="3">
        <v>4447.5199999999995</v>
      </c>
      <c r="C11" s="3">
        <f>1.1*B11</f>
        <v>4892.2719999999999</v>
      </c>
      <c r="D11" s="8" t="s">
        <v>6</v>
      </c>
      <c r="E11" s="2">
        <f>IF(D11="MTS", 1 + (C11/427467), IF(D11="MTO", 2 + (C11/427467), ""))</f>
        <v>2.0114447945689373</v>
      </c>
    </row>
    <row r="12" spans="1:6">
      <c r="A12" s="2" t="s">
        <v>17</v>
      </c>
      <c r="B12" s="3">
        <v>1005.4799999999999</v>
      </c>
      <c r="C12" s="3">
        <f>1.1*B12</f>
        <v>1106.028</v>
      </c>
      <c r="D12" s="7" t="s">
        <v>6</v>
      </c>
      <c r="E12" s="2">
        <f>IF(D12="MTS", 1 + (C12/427467), IF(D12="MTO", 2 + (C12/427467), ""))</f>
        <v>2.0025873997291019</v>
      </c>
    </row>
    <row r="13" spans="1:6">
      <c r="A13" s="2" t="s">
        <v>18</v>
      </c>
      <c r="B13" s="3">
        <v>704</v>
      </c>
      <c r="C13" s="3">
        <f>1.1*B13</f>
        <v>774.40000000000009</v>
      </c>
      <c r="D13" s="21" t="s">
        <v>6</v>
      </c>
      <c r="E13" s="2">
        <f>IF(D13="MTS", 1 + (C13/427467), IF(D13="MTO", 2 + (C13/427467), ""))</f>
        <v>2.0018116018312524</v>
      </c>
    </row>
    <row r="14" spans="1:6">
      <c r="A14" s="2" t="s">
        <v>19</v>
      </c>
      <c r="B14" s="3">
        <v>578.91272727272712</v>
      </c>
      <c r="C14" s="3">
        <f>1.1*B14</f>
        <v>636.80399999999986</v>
      </c>
      <c r="D14" s="30" t="s">
        <v>6</v>
      </c>
      <c r="E14" s="2">
        <f>IF(D14="MTS", 1 + (C14/427467), IF(D14="MTO", 2 + (C14/427467), ""))</f>
        <v>2.0014897149955435</v>
      </c>
    </row>
    <row r="15" spans="1:6">
      <c r="A15" s="2" t="s">
        <v>20</v>
      </c>
      <c r="B15" s="3">
        <v>463.13018181818171</v>
      </c>
      <c r="C15" s="3">
        <f>1.1*B15</f>
        <v>509.44319999999993</v>
      </c>
      <c r="D15" s="4" t="s">
        <v>6</v>
      </c>
      <c r="E15" s="2">
        <f>IF(D15="MTS", 1 + (C15/427467), IF(D15="MTO", 2 + (C15/427467), ""))</f>
        <v>2.0011917719964347</v>
      </c>
    </row>
    <row r="16" spans="1:6">
      <c r="A16" s="2" t="s">
        <v>21</v>
      </c>
      <c r="B16" s="3">
        <v>61.626193548387093</v>
      </c>
      <c r="C16" s="3">
        <f>1.1*B16</f>
        <v>67.788812903225804</v>
      </c>
      <c r="D16" s="23" t="s">
        <v>6</v>
      </c>
      <c r="E16" s="2">
        <f>IF(D16="MTS", 1 + (C16/427467), IF(D16="MTO", 2 + (C16/427467), ""))</f>
        <v>2.0001585825640418</v>
      </c>
    </row>
    <row r="17" spans="1:5">
      <c r="A17" s="2" t="s">
        <v>22</v>
      </c>
      <c r="B17" s="3">
        <v>36249.911450381682</v>
      </c>
      <c r="C17" s="3">
        <f>1.1*B17</f>
        <v>39874.902595419851</v>
      </c>
      <c r="D17" s="8" t="s">
        <v>23</v>
      </c>
      <c r="E17" s="2">
        <f>IF(D17="MTS", 1 + (C17/427467), IF(D17="MTO", 2 + (C17/427467), ""))</f>
        <v>1.0932818266566071</v>
      </c>
    </row>
    <row r="18" spans="1:5">
      <c r="A18" s="2" t="s">
        <v>24</v>
      </c>
      <c r="B18" s="3">
        <v>24352.504615384612</v>
      </c>
      <c r="C18" s="3">
        <f>1.1*B18</f>
        <v>26787.755076923077</v>
      </c>
      <c r="D18" s="6" t="s">
        <v>23</v>
      </c>
      <c r="E18" s="2">
        <f>IF(D18="MTS", 1 + (C18/427467), IF(D18="MTO", 2 + (C18/427467), ""))</f>
        <v>1.0626662527795667</v>
      </c>
    </row>
    <row r="19" spans="1:5">
      <c r="A19" s="2" t="s">
        <v>25</v>
      </c>
      <c r="B19" s="3">
        <v>19010.011034482755</v>
      </c>
      <c r="C19" s="3">
        <f>1.1*B19</f>
        <v>20911.012137931033</v>
      </c>
      <c r="D19" s="24" t="s">
        <v>23</v>
      </c>
      <c r="E19" s="2">
        <f>IF(D19="MTS", 1 + (C19/427467), IF(D19="MTO", 2 + (C19/427467), ""))</f>
        <v>1.0489184244349412</v>
      </c>
    </row>
    <row r="20" spans="1:5">
      <c r="A20" s="2" t="s">
        <v>26</v>
      </c>
      <c r="B20" s="3">
        <v>15318.510967741937</v>
      </c>
      <c r="C20" s="3">
        <f>1.1*B20</f>
        <v>16850.362064516132</v>
      </c>
      <c r="D20" s="7" t="s">
        <v>23</v>
      </c>
      <c r="E20" s="2">
        <f>IF(D20="MTS", 1 + (C20/427467), IF(D20="MTO", 2 + (C20/427467), ""))</f>
        <v>1.0394190944903727</v>
      </c>
    </row>
    <row r="21" spans="1:5">
      <c r="A21" s="2" t="s">
        <v>27</v>
      </c>
      <c r="B21" s="3">
        <v>14127.416470588236</v>
      </c>
      <c r="C21" s="3">
        <f>1.1*B21</f>
        <v>15540.158117647061</v>
      </c>
      <c r="D21" s="26" t="s">
        <v>23</v>
      </c>
      <c r="E21" s="2">
        <f>IF(D21="MTS", 1 + (C21/427467), IF(D21="MTO", 2 + (C21/427467), ""))</f>
        <v>1.0363540533366249</v>
      </c>
    </row>
    <row r="22" spans="1:5">
      <c r="A22" s="2" t="s">
        <v>28</v>
      </c>
      <c r="B22" s="3">
        <v>12820.70511627907</v>
      </c>
      <c r="C22" s="3">
        <f>1.1*B22</f>
        <v>14102.775627906978</v>
      </c>
      <c r="D22" s="5" t="s">
        <v>23</v>
      </c>
      <c r="E22" s="2">
        <f>IF(D22="MTS", 1 + (C22/427467), IF(D22="MTO", 2 + (C22/427467), ""))</f>
        <v>1.0329914955491464</v>
      </c>
    </row>
    <row r="23" spans="1:5">
      <c r="A23" s="2" t="s">
        <v>29</v>
      </c>
      <c r="B23" s="3">
        <v>11306.52</v>
      </c>
      <c r="C23" s="3">
        <f>1.1*B23</f>
        <v>12437.172000000002</v>
      </c>
      <c r="D23" s="4" t="s">
        <v>23</v>
      </c>
      <c r="E23" s="2">
        <f>IF(D23="MTS", 1 + (C23/427467), IF(D23="MTO", 2 + (C23/427467), ""))</f>
        <v>1.0290950459333703</v>
      </c>
    </row>
    <row r="24" spans="1:5">
      <c r="A24" s="2" t="s">
        <v>30</v>
      </c>
      <c r="B24" s="3">
        <v>10435.023529411765</v>
      </c>
      <c r="C24" s="3">
        <f>1.1*B24</f>
        <v>11478.525882352942</v>
      </c>
      <c r="D24" s="4" t="s">
        <v>23</v>
      </c>
      <c r="E24" s="2">
        <f>IF(D24="MTS", 1 + (C24/427467), IF(D24="MTO", 2 + (C24/427467), ""))</f>
        <v>1.0268524257600071</v>
      </c>
    </row>
    <row r="25" spans="1:5">
      <c r="A25" s="2" t="s">
        <v>31</v>
      </c>
      <c r="B25" s="3">
        <v>8899.434782608696</v>
      </c>
      <c r="C25" s="3">
        <f>1.1*B25</f>
        <v>9789.3782608695656</v>
      </c>
      <c r="D25" s="4" t="s">
        <v>23</v>
      </c>
      <c r="E25" s="2">
        <f>IF(D25="MTS", 1 + (C25/427467), IF(D25="MTO", 2 + (C25/427467), ""))</f>
        <v>1.0229008982234173</v>
      </c>
    </row>
    <row r="26" spans="1:5">
      <c r="A26" s="2" t="s">
        <v>32</v>
      </c>
      <c r="B26" s="3">
        <v>6549.9840000000013</v>
      </c>
      <c r="C26" s="3">
        <f>1.1*B26</f>
        <v>7204.9824000000017</v>
      </c>
      <c r="D26" s="5" t="s">
        <v>23</v>
      </c>
      <c r="E26" s="2">
        <f>IF(D26="MTS", 1 + (C26/427467), IF(D26="MTO", 2 + (C26/427467), ""))</f>
        <v>1.0168550610924352</v>
      </c>
    </row>
    <row r="27" spans="1:5">
      <c r="A27" s="2" t="s">
        <v>33</v>
      </c>
      <c r="B27" s="3">
        <v>3638.8799999999992</v>
      </c>
      <c r="C27" s="3">
        <f>1.1*B27</f>
        <v>4002.7679999999996</v>
      </c>
      <c r="D27" s="4" t="s">
        <v>23</v>
      </c>
      <c r="E27" s="2">
        <f>IF(D27="MTS", 1 + (C27/427467), IF(D27="MTO", 2 + (C27/427467), ""))</f>
        <v>1.0093639228291307</v>
      </c>
    </row>
    <row r="28" spans="1:5">
      <c r="A28" s="2" t="s">
        <v>34</v>
      </c>
      <c r="B28" s="3">
        <v>3245.4875675675671</v>
      </c>
      <c r="C28" s="3">
        <f>1.1*B28</f>
        <v>3570.0363243243241</v>
      </c>
      <c r="D28" s="5" t="s">
        <v>23</v>
      </c>
      <c r="E28" s="2">
        <f>IF(D28="MTS", 1 + (C28/427467), IF(D28="MTO", 2 + (C28/427467), ""))</f>
        <v>1.0083516068476031</v>
      </c>
    </row>
    <row r="29" spans="1:5">
      <c r="A29" s="2" t="s">
        <v>35</v>
      </c>
      <c r="B29" s="3">
        <v>2966.478260869565</v>
      </c>
      <c r="C29" s="3">
        <f>1.1*B29</f>
        <v>3263.1260869565217</v>
      </c>
      <c r="D29" s="9" t="s">
        <v>23</v>
      </c>
      <c r="E29" s="2">
        <f>IF(D29="MTS", 1 + (C29/427467), IF(D29="MTO", 2 + (C29/427467), ""))</f>
        <v>1.007633632741139</v>
      </c>
    </row>
    <row r="30" spans="1:5">
      <c r="A30" s="2" t="s">
        <v>36</v>
      </c>
      <c r="B30" s="3">
        <v>2916.6595419847326</v>
      </c>
      <c r="C30" s="3">
        <f>1.1*B30</f>
        <v>3208.3254961832063</v>
      </c>
      <c r="D30" s="5" t="s">
        <v>23</v>
      </c>
      <c r="E30" s="2">
        <f>IF(D30="MTS", 1 + (C30/427467), IF(D30="MTO", 2 + (C30/427467), ""))</f>
        <v>1.0075054343286924</v>
      </c>
    </row>
    <row r="31" spans="1:5">
      <c r="A31" s="2" t="s">
        <v>37</v>
      </c>
      <c r="B31" s="3">
        <v>2635.0510344827585</v>
      </c>
      <c r="C31" s="3">
        <f>1.1*B31</f>
        <v>2898.5561379310348</v>
      </c>
      <c r="D31" s="5" t="s">
        <v>23</v>
      </c>
      <c r="E31" s="2">
        <f>IF(D31="MTS", 1 + (C31/427467), IF(D31="MTO", 2 + (C31/427467), ""))</f>
        <v>1.0067807717038533</v>
      </c>
    </row>
    <row r="32" spans="1:5">
      <c r="A32" s="2" t="s">
        <v>38</v>
      </c>
      <c r="B32" s="3">
        <v>2465.0477419354838</v>
      </c>
      <c r="C32" s="3">
        <f>1.1*B32</f>
        <v>2711.5525161290325</v>
      </c>
      <c r="D32" s="4" t="s">
        <v>23</v>
      </c>
      <c r="E32" s="2">
        <f>IF(D32="MTS", 1 + (C32/427467), IF(D32="MTO", 2 + (C32/427467), ""))</f>
        <v>1.0063433025616693</v>
      </c>
    </row>
    <row r="33" spans="1:5">
      <c r="A33" s="2" t="s">
        <v>39</v>
      </c>
      <c r="B33" s="3">
        <v>2352.3598451612902</v>
      </c>
      <c r="C33" s="3">
        <f>1.1*B33</f>
        <v>2587.5958296774193</v>
      </c>
      <c r="D33" s="4" t="s">
        <v>23</v>
      </c>
      <c r="E33" s="2">
        <f>IF(D33="MTS", 1 + (C33/427467), IF(D33="MTO", 2 + (C33/427467), ""))</f>
        <v>1.0060533230159929</v>
      </c>
    </row>
    <row r="34" spans="1:5">
      <c r="A34" s="2" t="s">
        <v>40</v>
      </c>
      <c r="B34" s="3">
        <v>1949.4</v>
      </c>
      <c r="C34" s="3">
        <f>1.1*B34</f>
        <v>2144.34</v>
      </c>
      <c r="D34" s="4" t="s">
        <v>23</v>
      </c>
      <c r="E34" s="2">
        <f>IF(D34="MTS", 1 + (C34/427467), IF(D34="MTO", 2 + (C34/427467), ""))</f>
        <v>1.0050163872298914</v>
      </c>
    </row>
    <row r="35" spans="1:5">
      <c r="A35" s="2" t="s">
        <v>41</v>
      </c>
      <c r="B35" s="3">
        <v>1819.44</v>
      </c>
      <c r="C35" s="3">
        <f>1.1*B35</f>
        <v>2001.3840000000002</v>
      </c>
      <c r="D35" s="4" t="s">
        <v>23</v>
      </c>
      <c r="E35" s="2">
        <f>IF(D35="MTS", 1 + (C35/427467), IF(D35="MTO", 2 + (C35/427467), ""))</f>
        <v>1.0046819614145652</v>
      </c>
    </row>
    <row r="36" spans="1:5">
      <c r="A36" s="2" t="s">
        <v>42</v>
      </c>
      <c r="B36" s="3">
        <v>1408.5987096774193</v>
      </c>
      <c r="C36" s="3">
        <f>1.1*B36</f>
        <v>1549.4585806451614</v>
      </c>
      <c r="D36" s="5" t="s">
        <v>23</v>
      </c>
      <c r="E36" s="2">
        <f>IF(D36="MTS", 1 + (C36/427467), IF(D36="MTO", 2 + (C36/427467), ""))</f>
        <v>1.0036247443209538</v>
      </c>
    </row>
    <row r="37" spans="1:5">
      <c r="A37" s="2" t="s">
        <v>43</v>
      </c>
      <c r="B37" s="3">
        <v>1317.5255172413792</v>
      </c>
      <c r="C37" s="3">
        <f>1.1*B37</f>
        <v>1449.2780689655174</v>
      </c>
      <c r="D37" s="4" t="s">
        <v>23</v>
      </c>
      <c r="E37" s="2">
        <f>IF(D37="MTS", 1 + (C37/427467), IF(D37="MTO", 2 + (C37/427467), ""))</f>
        <v>1.0033903858519266</v>
      </c>
    </row>
    <row r="38" spans="1:5">
      <c r="A38" s="2" t="s">
        <v>44</v>
      </c>
      <c r="B38" s="3">
        <v>1317.5255172413792</v>
      </c>
      <c r="C38" s="3">
        <f>1.1*B38</f>
        <v>1449.2780689655174</v>
      </c>
      <c r="D38" s="6" t="s">
        <v>23</v>
      </c>
      <c r="E38" s="2">
        <f>IF(D38="MTS", 1 + (C38/427467), IF(D38="MTO", 2 + (C38/427467), ""))</f>
        <v>1.0033903858519266</v>
      </c>
    </row>
    <row r="39" spans="1:5">
      <c r="A39" s="2" t="s">
        <v>45</v>
      </c>
      <c r="B39" s="3">
        <v>1273.6079999999999</v>
      </c>
      <c r="C39" s="3">
        <f>1.1*B39</f>
        <v>1400.9688000000001</v>
      </c>
      <c r="D39" s="7" t="s">
        <v>23</v>
      </c>
      <c r="E39" s="2">
        <f>IF(D39="MTS", 1 + (C39/427467), IF(D39="MTO", 2 + (C39/427467), ""))</f>
        <v>1.0032773729901958</v>
      </c>
    </row>
    <row r="40" spans="1:5">
      <c r="A40" s="2" t="s">
        <v>46</v>
      </c>
      <c r="B40" s="3">
        <v>1273.6079999999999</v>
      </c>
      <c r="C40" s="3">
        <f>1.1*B40</f>
        <v>1400.9688000000001</v>
      </c>
      <c r="D40" s="22" t="s">
        <v>23</v>
      </c>
      <c r="E40" s="2">
        <f>IF(D40="MTS", 1 + (C40/427467), IF(D40="MTO", 2 + (C40/427467), ""))</f>
        <v>1.0032773729901958</v>
      </c>
    </row>
    <row r="41" spans="1:5">
      <c r="A41" s="2" t="s">
        <v>47</v>
      </c>
      <c r="B41" s="3">
        <v>1065.038048780488</v>
      </c>
      <c r="C41" s="3">
        <f>1.1*B41</f>
        <v>1171.5418536585369</v>
      </c>
      <c r="D41" s="28" t="s">
        <v>23</v>
      </c>
      <c r="E41" s="2">
        <f>IF(D41="MTS", 1 + (C41/427467), IF(D41="MTO", 2 + (C41/427467), ""))</f>
        <v>1.0027406603402333</v>
      </c>
    </row>
    <row r="42" spans="1:5">
      <c r="A42" s="2" t="s">
        <v>48</v>
      </c>
      <c r="B42" s="3">
        <v>1032.655135135135</v>
      </c>
      <c r="C42" s="3">
        <f>1.1*B42</f>
        <v>1135.9206486486485</v>
      </c>
      <c r="D42" s="24" t="s">
        <v>23</v>
      </c>
      <c r="E42" s="2">
        <f>IF(D42="MTS", 1 + (C42/427467), IF(D42="MTO", 2 + (C42/427467), ""))</f>
        <v>1.00265732945151</v>
      </c>
    </row>
    <row r="43" spans="1:5">
      <c r="A43" s="2" t="s">
        <v>49</v>
      </c>
      <c r="B43" s="3">
        <v>922.26786206896531</v>
      </c>
      <c r="C43" s="3">
        <f>1.1*B43</f>
        <v>1014.4946482758619</v>
      </c>
      <c r="D43" s="7" t="s">
        <v>23</v>
      </c>
      <c r="E43" s="2">
        <f>IF(D43="MTS", 1 + (C43/427467), IF(D43="MTO", 2 + (C43/427467), ""))</f>
        <v>1.0023732700963486</v>
      </c>
    </row>
    <row r="44" spans="1:5">
      <c r="A44" s="2" t="s">
        <v>50</v>
      </c>
      <c r="B44" s="3">
        <v>308.13096774193548</v>
      </c>
      <c r="C44" s="3">
        <f>1.1*B44</f>
        <v>338.94406451612906</v>
      </c>
      <c r="D44" s="24" t="s">
        <v>23</v>
      </c>
      <c r="E44" s="2">
        <f>IF(D44="MTS", 1 + (C44/427467), IF(D44="MTO", 2 + (C44/427467), ""))</f>
        <v>1.0007929128202087</v>
      </c>
    </row>
    <row r="45" spans="1:5">
      <c r="A45" s="2" t="s">
        <v>51</v>
      </c>
      <c r="B45" s="3">
        <v>264.20591489361703</v>
      </c>
      <c r="C45" s="3">
        <f>1.1*B45</f>
        <v>290.62650638297879</v>
      </c>
      <c r="D45" s="31" t="s">
        <v>23</v>
      </c>
      <c r="E45" s="2">
        <f>IF(D45="MTS", 1 + (C45/427467), IF(D45="MTO", 2 + (C45/427467), ""))</f>
        <v>1.0006798805671151</v>
      </c>
    </row>
    <row r="46" spans="1:5">
      <c r="A46" s="2" t="s">
        <v>52</v>
      </c>
      <c r="B46" s="3">
        <v>159.75570731707319</v>
      </c>
      <c r="C46" s="3">
        <f>1.1*B46</f>
        <v>175.73127804878052</v>
      </c>
      <c r="D46" s="6" t="s">
        <v>23</v>
      </c>
      <c r="E46" s="2">
        <f>IF(D46="MTS", 1 + (C46/427467), IF(D46="MTO", 2 + (C46/427467), ""))</f>
        <v>1.0004110990510351</v>
      </c>
    </row>
  </sheetData>
  <sortState xmlns:xlrd2="http://schemas.microsoft.com/office/spreadsheetml/2017/richdata2" ref="A2:E81">
    <sortCondition descending="1" ref="E2:E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2700-F6D6-4595-9C1B-98801E4EFAE8}">
  <dimension ref="A1:E49"/>
  <sheetViews>
    <sheetView tabSelected="1" workbookViewId="0">
      <selection activeCell="E46" sqref="E46"/>
    </sheetView>
  </sheetViews>
  <sheetFormatPr defaultRowHeight="15"/>
  <cols>
    <col min="1" max="1" width="22.28515625" style="1" bestFit="1" customWidth="1"/>
    <col min="2" max="2" width="18" style="1" bestFit="1" customWidth="1"/>
    <col min="3" max="3" width="21.5703125" style="1" bestFit="1" customWidth="1"/>
    <col min="4" max="4" width="11.5703125" style="1" bestFit="1" customWidth="1"/>
    <col min="5" max="5" width="24.28515625" style="1" bestFit="1" customWidth="1"/>
    <col min="6" max="6" width="9.140625" style="1"/>
    <col min="7" max="7" width="9.28515625" style="1" bestFit="1" customWidth="1"/>
    <col min="8" max="16384" width="9.140625" style="1"/>
  </cols>
  <sheetData>
    <row r="1" spans="1:5">
      <c r="A1" s="11" t="s">
        <v>0</v>
      </c>
      <c r="B1" s="1" t="s">
        <v>1</v>
      </c>
      <c r="C1" s="12" t="s">
        <v>2</v>
      </c>
      <c r="D1" s="12" t="s">
        <v>3</v>
      </c>
      <c r="E1" s="11" t="s">
        <v>4</v>
      </c>
    </row>
    <row r="2" spans="1:5">
      <c r="A2" s="11" t="s">
        <v>5</v>
      </c>
      <c r="B2" s="12">
        <v>67839.12000000001</v>
      </c>
      <c r="C2" s="13">
        <v>74533.026436856584</v>
      </c>
      <c r="D2" s="32" t="s">
        <v>6</v>
      </c>
      <c r="E2" s="11">
        <f>IF(D2="MTS", 1 + (C2/427467), IF(D2="MTO", 2 + (C2/427467), ""))</f>
        <v>2.1743597200178177</v>
      </c>
    </row>
    <row r="3" spans="1:5">
      <c r="A3" s="11" t="s">
        <v>7</v>
      </c>
      <c r="B3" s="12">
        <v>32428.842352941181</v>
      </c>
      <c r="C3" s="13">
        <v>35364.68552023307</v>
      </c>
      <c r="D3" s="32" t="s">
        <v>6</v>
      </c>
      <c r="E3" s="11">
        <f>IF(D3="MTS", 1 + (C3/427467), IF(D3="MTO", 2 + (C3/427467), ""))</f>
        <v>2.0827307968105915</v>
      </c>
    </row>
    <row r="4" spans="1:5">
      <c r="A4" s="11" t="s">
        <v>8</v>
      </c>
      <c r="B4" s="12">
        <v>20241.27</v>
      </c>
      <c r="C4" s="13">
        <v>22515.502445972343</v>
      </c>
      <c r="D4" s="35" t="s">
        <v>6</v>
      </c>
      <c r="E4" s="11">
        <f>IF(D4="MTS", 1 + (C4/427467), IF(D4="MTO", 2 + (C4/427467), ""))</f>
        <v>2.0526719078805438</v>
      </c>
    </row>
    <row r="5" spans="1:5">
      <c r="A5" s="11" t="s">
        <v>10</v>
      </c>
      <c r="B5" s="12">
        <v>18090.432000000004</v>
      </c>
      <c r="C5" s="13">
        <v>19723.826442123005</v>
      </c>
      <c r="D5" s="34" t="s">
        <v>6</v>
      </c>
      <c r="E5" s="11">
        <f>IF(D5="MTS", 1 + (C5/427467), IF(D5="MTO", 2 + (C5/427467), ""))</f>
        <v>2.0461411674869008</v>
      </c>
    </row>
    <row r="6" spans="1:5">
      <c r="A6" s="11" t="s">
        <v>11</v>
      </c>
      <c r="B6" s="12">
        <v>13645.8</v>
      </c>
      <c r="C6" s="13">
        <v>14727.997479393487</v>
      </c>
      <c r="D6" s="14" t="s">
        <v>6</v>
      </c>
      <c r="E6" s="11">
        <f>IF(D6="MTS", 1 + (C6/427467), IF(D6="MTO", 2 + (C6/427467), ""))</f>
        <v>2.034454115708098</v>
      </c>
    </row>
    <row r="7" spans="1:5">
      <c r="A7" s="11" t="s">
        <v>12</v>
      </c>
      <c r="B7" s="12">
        <v>12834.428108108106</v>
      </c>
      <c r="C7" s="13">
        <v>14218.425332468712</v>
      </c>
      <c r="D7" s="18" t="s">
        <v>6</v>
      </c>
      <c r="E7" s="11">
        <f>IF(D7="MTS", 1 + (C7/427467), IF(D7="MTO", 2 + (C7/427467), ""))</f>
        <v>2.0332620420581442</v>
      </c>
    </row>
    <row r="8" spans="1:5">
      <c r="A8" s="11" t="s">
        <v>13</v>
      </c>
      <c r="B8" s="12">
        <v>12476.160000000002</v>
      </c>
      <c r="C8" s="13">
        <v>13505.046643707086</v>
      </c>
      <c r="D8" s="16" t="s">
        <v>6</v>
      </c>
      <c r="E8" s="11">
        <f>IF(D8="MTS", 1 + (C8/427467), IF(D8="MTO", 2 + (C8/427467), ""))</f>
        <v>2.0315931911555913</v>
      </c>
    </row>
    <row r="9" spans="1:5">
      <c r="A9" s="11" t="s">
        <v>14</v>
      </c>
      <c r="B9" s="12">
        <v>5282.2451612903224</v>
      </c>
      <c r="C9" s="13">
        <v>5864.9719805226505</v>
      </c>
      <c r="D9" s="40" t="s">
        <v>6</v>
      </c>
      <c r="E9" s="11">
        <f>IF(D9="MTS", 1 + (C9/427467), IF(D9="MTO", 2 + (C9/427467), ""))</f>
        <v>2.0137202918132222</v>
      </c>
    </row>
    <row r="10" spans="1:5">
      <c r="A10" s="11" t="s">
        <v>15</v>
      </c>
      <c r="B10" s="12">
        <v>5106.170322580645</v>
      </c>
      <c r="C10" s="13">
        <v>5527.1510690326259</v>
      </c>
      <c r="D10" s="20" t="s">
        <v>6</v>
      </c>
      <c r="E10" s="11">
        <f>IF(D10="MTS", 1 + (C10/427467), IF(D10="MTO", 2 + (C10/427467), ""))</f>
        <v>2.0129300064543756</v>
      </c>
    </row>
    <row r="11" spans="1:5">
      <c r="A11" s="11" t="s">
        <v>16</v>
      </c>
      <c r="B11" s="12">
        <v>4447.5199999999995</v>
      </c>
      <c r="C11" s="13">
        <v>4940.1931870824574</v>
      </c>
      <c r="D11" s="18" t="s">
        <v>6</v>
      </c>
      <c r="E11" s="11">
        <f>IF(D11="MTS", 1 + (C11/427467), IF(D11="MTO", 2 + (C11/427467), ""))</f>
        <v>2.0115568995667092</v>
      </c>
    </row>
    <row r="12" spans="1:5">
      <c r="A12" s="11" t="s">
        <v>17</v>
      </c>
      <c r="B12" s="12">
        <v>1005.4799999999999</v>
      </c>
      <c r="C12" s="13">
        <v>1109.6008547965737</v>
      </c>
      <c r="D12" s="17" t="s">
        <v>6</v>
      </c>
      <c r="E12" s="11">
        <f>IF(D12="MTS", 1 + (C12/427467), IF(D12="MTO", 2 + (C12/427467), ""))</f>
        <v>2.0025957579293761</v>
      </c>
    </row>
    <row r="13" spans="1:5">
      <c r="A13" s="11" t="s">
        <v>18</v>
      </c>
      <c r="B13" s="12">
        <v>704</v>
      </c>
      <c r="C13" s="13">
        <v>773.81776051686563</v>
      </c>
      <c r="D13" s="37" t="s">
        <v>6</v>
      </c>
      <c r="E13" s="11">
        <f>IF(D13="MTS", 1 + (C13/427467), IF(D13="MTO", 2 + (C13/427467), ""))</f>
        <v>2.0018102397624071</v>
      </c>
    </row>
    <row r="14" spans="1:5">
      <c r="A14" s="11" t="s">
        <v>19</v>
      </c>
      <c r="B14" s="12">
        <v>578.91272727272712</v>
      </c>
      <c r="C14" s="13">
        <v>639.69813424451695</v>
      </c>
      <c r="D14" s="41" t="s">
        <v>6</v>
      </c>
      <c r="E14" s="11">
        <f>IF(D14="MTS", 1 + (C14/427467), IF(D14="MTO", 2 + (C14/427467), ""))</f>
        <v>2.0014964854228383</v>
      </c>
    </row>
    <row r="15" spans="1:5">
      <c r="A15" s="11" t="s">
        <v>20</v>
      </c>
      <c r="B15" s="12">
        <v>463.13018181818171</v>
      </c>
      <c r="C15" s="13">
        <v>504.23220969292043</v>
      </c>
      <c r="D15" s="14" t="s">
        <v>6</v>
      </c>
      <c r="E15" s="11">
        <f>IF(D15="MTS", 1 + (C15/427467), IF(D15="MTO", 2 + (C15/427467), ""))</f>
        <v>2.0011795816044113</v>
      </c>
    </row>
    <row r="16" spans="1:5">
      <c r="A16" s="11" t="s">
        <v>21</v>
      </c>
      <c r="B16" s="12">
        <v>61.626193548387093</v>
      </c>
      <c r="C16" s="13">
        <v>69.373203786037081</v>
      </c>
      <c r="D16" s="34" t="s">
        <v>6</v>
      </c>
      <c r="E16" s="11">
        <f>IF(D16="MTS", 1 + (C16/427467), IF(D16="MTO", 2 + (C16/427467), ""))</f>
        <v>2.0001622890276582</v>
      </c>
    </row>
    <row r="17" spans="1:5">
      <c r="A17" s="11" t="s">
        <v>22</v>
      </c>
      <c r="B17" s="12">
        <v>36249.911450381682</v>
      </c>
      <c r="C17" s="13">
        <v>39583.581918959666</v>
      </c>
      <c r="D17" s="18" t="s">
        <v>23</v>
      </c>
      <c r="E17" s="11">
        <f>IF(D17="MTS", 1 + (C17/427467), IF(D17="MTO", 2 + (C17/427467), ""))</f>
        <v>1.0926003221744829</v>
      </c>
    </row>
    <row r="18" spans="1:5">
      <c r="A18" s="11" t="s">
        <v>24</v>
      </c>
      <c r="B18" s="12">
        <v>24352.504615384612</v>
      </c>
      <c r="C18" s="13">
        <v>26241.630243176369</v>
      </c>
      <c r="D18" s="16" t="s">
        <v>23</v>
      </c>
      <c r="E18" s="11">
        <f>IF(D18="MTS", 1 + (C18/427467), IF(D18="MTO", 2 + (C18/427467), ""))</f>
        <v>1.0613886691678571</v>
      </c>
    </row>
    <row r="19" spans="1:5">
      <c r="A19" s="11" t="s">
        <v>25</v>
      </c>
      <c r="B19" s="12">
        <v>19010.011034482755</v>
      </c>
      <c r="C19" s="13">
        <v>20548.841379296373</v>
      </c>
      <c r="D19" s="38" t="s">
        <v>23</v>
      </c>
      <c r="E19" s="11">
        <f>IF(D19="MTS", 1 + (C19/427467), IF(D19="MTO", 2 + (C19/427467), ""))</f>
        <v>1.0480711759721719</v>
      </c>
    </row>
    <row r="20" spans="1:5">
      <c r="A20" s="11" t="s">
        <v>26</v>
      </c>
      <c r="B20" s="12">
        <v>15318.510967741937</v>
      </c>
      <c r="C20" s="13">
        <v>16789.339818662906</v>
      </c>
      <c r="D20" s="17" t="s">
        <v>23</v>
      </c>
      <c r="E20" s="11">
        <f>IF(D20="MTS", 1 + (C20/427467), IF(D20="MTO", 2 + (C20/427467), ""))</f>
        <v>1.0392763413752708</v>
      </c>
    </row>
    <row r="21" spans="1:5">
      <c r="A21" s="11" t="s">
        <v>27</v>
      </c>
      <c r="B21" s="12">
        <v>14127.416470588236</v>
      </c>
      <c r="C21" s="13">
        <v>15441.420018979261</v>
      </c>
      <c r="D21" s="33" t="s">
        <v>23</v>
      </c>
      <c r="E21" s="11">
        <f>IF(D21="MTS", 1 + (C21/427467), IF(D21="MTO", 2 + (C21/427467), ""))</f>
        <v>1.0361230691935968</v>
      </c>
    </row>
    <row r="22" spans="1:5">
      <c r="A22" s="11" t="s">
        <v>28</v>
      </c>
      <c r="B22" s="12">
        <v>12820.70511627907</v>
      </c>
      <c r="C22" s="13">
        <v>14505.148714462546</v>
      </c>
      <c r="D22" s="15" t="s">
        <v>23</v>
      </c>
      <c r="E22" s="11">
        <f>IF(D22="MTS", 1 + (C22/427467), IF(D22="MTO", 2 + (C22/427467), ""))</f>
        <v>1.0339327918048937</v>
      </c>
    </row>
    <row r="23" spans="1:5">
      <c r="A23" s="11" t="s">
        <v>29</v>
      </c>
      <c r="B23" s="12">
        <v>11306.52</v>
      </c>
      <c r="C23" s="13">
        <v>12573.621691553439</v>
      </c>
      <c r="D23" s="14" t="s">
        <v>23</v>
      </c>
      <c r="E23" s="11">
        <f>IF(D23="MTS", 1 + (C23/427467), IF(D23="MTO", 2 + (C23/427467), ""))</f>
        <v>1.0294142511388094</v>
      </c>
    </row>
    <row r="24" spans="1:5">
      <c r="A24" s="11" t="s">
        <v>30</v>
      </c>
      <c r="B24" s="12">
        <v>10435.023529411765</v>
      </c>
      <c r="C24" s="13">
        <v>11749.584501136309</v>
      </c>
      <c r="D24" s="14" t="s">
        <v>23</v>
      </c>
      <c r="E24" s="11">
        <f>IF(D24="MTS", 1 + (C24/427467), IF(D24="MTO", 2 + (C24/427467), ""))</f>
        <v>1.0274865299570173</v>
      </c>
    </row>
    <row r="25" spans="1:5">
      <c r="A25" s="11" t="s">
        <v>31</v>
      </c>
      <c r="B25" s="12">
        <v>8899.434782608696</v>
      </c>
      <c r="C25" s="13">
        <v>9877.7502860944187</v>
      </c>
      <c r="D25" s="14" t="s">
        <v>23</v>
      </c>
      <c r="E25" s="11">
        <f>IF(D25="MTS", 1 + (C25/427467), IF(D25="MTO", 2 + (C25/427467), ""))</f>
        <v>1.0231076323695032</v>
      </c>
    </row>
    <row r="26" spans="1:5">
      <c r="A26" s="11" t="s">
        <v>32</v>
      </c>
      <c r="B26" s="12">
        <v>6549.9840000000013</v>
      </c>
      <c r="C26" s="13">
        <v>7057.2306273086942</v>
      </c>
      <c r="D26" s="15" t="s">
        <v>23</v>
      </c>
      <c r="E26" s="11">
        <f>IF(D26="MTS", 1 + (C26/427467), IF(D26="MTO", 2 + (C26/427467), ""))</f>
        <v>1.0165094162293433</v>
      </c>
    </row>
    <row r="27" spans="1:5">
      <c r="A27" s="11" t="s">
        <v>33</v>
      </c>
      <c r="B27" s="12">
        <v>3638.8799999999992</v>
      </c>
      <c r="C27" s="13">
        <v>3984.3848186517239</v>
      </c>
      <c r="D27" s="14" t="s">
        <v>23</v>
      </c>
      <c r="E27" s="11">
        <f>IF(D27="MTS", 1 + (C27/427467), IF(D27="MTO", 2 + (C27/427467), ""))</f>
        <v>1.0093209179156559</v>
      </c>
    </row>
    <row r="28" spans="1:5">
      <c r="A28" s="11" t="s">
        <v>34</v>
      </c>
      <c r="B28" s="12">
        <v>3245.4875675675671</v>
      </c>
      <c r="C28" s="13">
        <v>3508.9922128850203</v>
      </c>
      <c r="D28" s="15" t="s">
        <v>23</v>
      </c>
      <c r="E28" s="11">
        <f>IF(D28="MTS", 1 + (C28/427467), IF(D28="MTO", 2 + (C28/427467), ""))</f>
        <v>1.008208802580983</v>
      </c>
    </row>
    <row r="29" spans="1:5">
      <c r="A29" s="11" t="s">
        <v>35</v>
      </c>
      <c r="B29" s="12">
        <v>2966.478260869565</v>
      </c>
      <c r="C29" s="13">
        <v>3260.1197939579556</v>
      </c>
      <c r="D29" s="19" t="s">
        <v>23</v>
      </c>
      <c r="E29" s="11">
        <f>IF(D29="MTS", 1 + (C29/427467), IF(D29="MTO", 2 + (C29/427467), ""))</f>
        <v>1.0076265999339316</v>
      </c>
    </row>
    <row r="30" spans="1:5">
      <c r="A30" s="11" t="s">
        <v>36</v>
      </c>
      <c r="B30" s="12">
        <v>2916.6595419847326</v>
      </c>
      <c r="C30" s="13">
        <v>3141.282945098545</v>
      </c>
      <c r="D30" s="15" t="s">
        <v>23</v>
      </c>
      <c r="E30" s="11">
        <f>IF(D30="MTS", 1 + (C30/427467), IF(D30="MTO", 2 + (C30/427467), ""))</f>
        <v>1.0073485975410934</v>
      </c>
    </row>
    <row r="31" spans="1:5">
      <c r="A31" s="11" t="s">
        <v>37</v>
      </c>
      <c r="B31" s="12">
        <v>2635.0510344827585</v>
      </c>
      <c r="C31" s="13">
        <v>2925.3917608314564</v>
      </c>
      <c r="D31" s="15" t="s">
        <v>23</v>
      </c>
      <c r="E31" s="11">
        <f>IF(D31="MTS", 1 + (C31/427467), IF(D31="MTO", 2 + (C31/427467), ""))</f>
        <v>1.0068435499367938</v>
      </c>
    </row>
    <row r="32" spans="1:5">
      <c r="A32" s="11" t="s">
        <v>38</v>
      </c>
      <c r="B32" s="12">
        <v>2465.0477419354838</v>
      </c>
      <c r="C32" s="13">
        <v>2712.3247761585967</v>
      </c>
      <c r="D32" s="14" t="s">
        <v>23</v>
      </c>
      <c r="E32" s="11">
        <f>IF(D32="MTS", 1 + (C32/427467), IF(D32="MTO", 2 + (C32/427467), ""))</f>
        <v>1.0063451091573352</v>
      </c>
    </row>
    <row r="33" spans="1:5">
      <c r="A33" s="11" t="s">
        <v>39</v>
      </c>
      <c r="B33" s="12">
        <v>2352.3598451612902</v>
      </c>
      <c r="C33" s="13">
        <v>2647.8220792603083</v>
      </c>
      <c r="D33" s="14" t="s">
        <v>23</v>
      </c>
      <c r="E33" s="11">
        <f>IF(D33="MTS", 1 + (C33/427467), IF(D33="MTO", 2 + (C33/427467), ""))</f>
        <v>1.006194214007772</v>
      </c>
    </row>
    <row r="34" spans="1:5">
      <c r="A34" s="11" t="s">
        <v>40</v>
      </c>
      <c r="B34" s="12">
        <v>1949.4</v>
      </c>
      <c r="C34" s="13">
        <v>2145.7208335325518</v>
      </c>
      <c r="D34" s="14" t="s">
        <v>23</v>
      </c>
      <c r="E34" s="11">
        <f>IF(D34="MTS", 1 + (C34/427467), IF(D34="MTO", 2 + (C34/427467), ""))</f>
        <v>1.0050196174992048</v>
      </c>
    </row>
    <row r="35" spans="1:5">
      <c r="A35" s="11" t="s">
        <v>41</v>
      </c>
      <c r="B35" s="12">
        <v>1819.44</v>
      </c>
      <c r="C35" s="13">
        <v>1998.2318688572163</v>
      </c>
      <c r="D35" s="14" t="s">
        <v>23</v>
      </c>
      <c r="E35" s="11">
        <f>IF(D35="MTS", 1 + (C35/427467), IF(D35="MTO", 2 + (C35/427467), ""))</f>
        <v>1.0046745874391643</v>
      </c>
    </row>
    <row r="36" spans="1:5">
      <c r="A36" s="11" t="s">
        <v>42</v>
      </c>
      <c r="B36" s="12">
        <v>1408.5987096774193</v>
      </c>
      <c r="C36" s="13">
        <v>1589.7481292254347</v>
      </c>
      <c r="D36" s="15" t="s">
        <v>23</v>
      </c>
      <c r="E36" s="11">
        <f>IF(D36="MTS", 1 + (C36/427467), IF(D36="MTO", 2 + (C36/427467), ""))</f>
        <v>1.0037189961546165</v>
      </c>
    </row>
    <row r="37" spans="1:5">
      <c r="A37" s="11" t="s">
        <v>43</v>
      </c>
      <c r="B37" s="12">
        <v>1317.5255172413792</v>
      </c>
      <c r="C37" s="13">
        <v>1457.6136525300883</v>
      </c>
      <c r="D37" s="14" t="s">
        <v>23</v>
      </c>
      <c r="E37" s="11">
        <f>IF(D37="MTS", 1 + (C37/427467), IF(D37="MTO", 2 + (C37/427467), ""))</f>
        <v>1.0034098857982723</v>
      </c>
    </row>
    <row r="38" spans="1:5">
      <c r="A38" s="11" t="s">
        <v>45</v>
      </c>
      <c r="B38" s="12">
        <v>1273.6079999999999</v>
      </c>
      <c r="C38" s="13">
        <v>1437.0393584451688</v>
      </c>
      <c r="D38" s="18" t="s">
        <v>23</v>
      </c>
      <c r="E38" s="11">
        <f>IF(D38="MTS", 1 + (C38/427467), IF(D38="MTO", 2 + (C38/427467), ""))</f>
        <v>1.0033617550792111</v>
      </c>
    </row>
    <row r="39" spans="1:5">
      <c r="A39" s="11" t="s">
        <v>44</v>
      </c>
      <c r="B39" s="12">
        <v>1317.5255172413792</v>
      </c>
      <c r="C39" s="13">
        <v>1436.6756776151133</v>
      </c>
      <c r="D39" s="38" t="s">
        <v>23</v>
      </c>
      <c r="E39" s="11">
        <f>IF(D39="MTS", 1 + (C39/427467), IF(D39="MTO", 2 + (C39/427467), ""))</f>
        <v>1.0033609042981448</v>
      </c>
    </row>
    <row r="40" spans="1:5">
      <c r="A40" s="11" t="s">
        <v>46</v>
      </c>
      <c r="B40" s="12">
        <v>1273.6079999999999</v>
      </c>
      <c r="C40" s="13">
        <v>1420.9272937291837</v>
      </c>
      <c r="D40" s="36" t="s">
        <v>23</v>
      </c>
      <c r="E40" s="11">
        <f>IF(D40="MTS", 1 + (C40/427467), IF(D40="MTO", 2 + (C40/427467), ""))</f>
        <v>1.0033240631293858</v>
      </c>
    </row>
    <row r="41" spans="1:5">
      <c r="A41" s="11" t="s">
        <v>47</v>
      </c>
      <c r="B41" s="12">
        <v>1065.038048780488</v>
      </c>
      <c r="C41" s="13">
        <v>1185.2838162636988</v>
      </c>
      <c r="D41" s="39" t="s">
        <v>23</v>
      </c>
      <c r="E41" s="11">
        <f>IF(D41="MTS", 1 + (C41/427467), IF(D41="MTO", 2 + (C41/427467), ""))</f>
        <v>1.0027728077635554</v>
      </c>
    </row>
    <row r="42" spans="1:5">
      <c r="A42" s="11" t="s">
        <v>48</v>
      </c>
      <c r="B42" s="12">
        <v>1032.655135135135</v>
      </c>
      <c r="C42" s="13">
        <v>1139.4645088559255</v>
      </c>
      <c r="D42" s="38" t="s">
        <v>23</v>
      </c>
      <c r="E42" s="11">
        <f>IF(D42="MTS", 1 + (C42/427467), IF(D42="MTO", 2 + (C42/427467), ""))</f>
        <v>1.0026656198229476</v>
      </c>
    </row>
    <row r="43" spans="1:5">
      <c r="A43" s="11" t="s">
        <v>49</v>
      </c>
      <c r="B43" s="12">
        <v>922.26786206896531</v>
      </c>
      <c r="C43" s="13">
        <v>988.00770545400746</v>
      </c>
      <c r="D43" s="17" t="s">
        <v>23</v>
      </c>
      <c r="E43" s="11">
        <f>IF(D43="MTS", 1 + (C43/427467), IF(D43="MTO", 2 + (C43/427467), ""))</f>
        <v>1.0023113075522883</v>
      </c>
    </row>
    <row r="44" spans="1:5">
      <c r="A44" s="11" t="s">
        <v>50</v>
      </c>
      <c r="B44" s="12">
        <v>308.13096774193548</v>
      </c>
      <c r="C44" s="13">
        <v>338.8663378471997</v>
      </c>
      <c r="D44" s="38" t="s">
        <v>23</v>
      </c>
      <c r="E44" s="11">
        <f>IF(D44="MTS", 1 + (C44/427467), IF(D44="MTO", 2 + (C44/427467), ""))</f>
        <v>1.0007927309894031</v>
      </c>
    </row>
    <row r="45" spans="1:5">
      <c r="A45" s="11" t="s">
        <v>51</v>
      </c>
      <c r="B45" s="12">
        <v>264.20591489361703</v>
      </c>
      <c r="C45" s="13">
        <v>294.66763953977994</v>
      </c>
      <c r="D45" s="42" t="s">
        <v>23</v>
      </c>
      <c r="E45" s="11">
        <f>IF(D45="MTS", 1 + (C45/427467), IF(D45="MTO", 2 + (C45/427467), ""))</f>
        <v>1.000689334239929</v>
      </c>
    </row>
    <row r="46" spans="1:5">
      <c r="A46" s="11" t="s">
        <v>52</v>
      </c>
      <c r="B46" s="12">
        <v>159.75570731707319</v>
      </c>
      <c r="C46" s="13">
        <v>174.2771227887757</v>
      </c>
      <c r="D46" s="16" t="s">
        <v>23</v>
      </c>
      <c r="E46" s="11">
        <f>IF(D46="MTS", 1 + (C46/427467), IF(D46="MTO", 2 + (C46/427467), ""))</f>
        <v>1.0004076972556684</v>
      </c>
    </row>
    <row r="47" spans="1:5" s="43" customFormat="1">
      <c r="A47" s="1" t="s">
        <v>53</v>
      </c>
      <c r="B47" s="1">
        <v>1906</v>
      </c>
      <c r="C47" s="1">
        <v>1906</v>
      </c>
      <c r="D47" s="43" t="s">
        <v>23</v>
      </c>
      <c r="E47" s="11">
        <f t="shared" ref="E47:E48" si="0">IF(D47="MTS", 1 + (C47/427467), IF(D47="MTO", 2 + (C47/427467), ""))</f>
        <v>1.0044588237220651</v>
      </c>
    </row>
    <row r="48" spans="1:5" s="43" customFormat="1">
      <c r="A48" s="1" t="s">
        <v>54</v>
      </c>
      <c r="B48" s="1">
        <v>2060</v>
      </c>
      <c r="C48" s="1">
        <v>2060</v>
      </c>
      <c r="D48" s="43" t="s">
        <v>23</v>
      </c>
      <c r="E48" s="11">
        <f t="shared" si="0"/>
        <v>1.0048190854498711</v>
      </c>
    </row>
    <row r="49" spans="1:5" s="43" customFormat="1">
      <c r="A49" s="43" t="s">
        <v>55</v>
      </c>
      <c r="B49" s="43">
        <v>8820</v>
      </c>
      <c r="C49" s="43">
        <v>8820</v>
      </c>
      <c r="D49" s="43" t="s">
        <v>6</v>
      </c>
      <c r="E49" s="44">
        <f t="shared" ref="E49" si="1">IF(D49="MTS", 1 + (C49/427467), IF(D49="MTO", 2 + (C49/427467), ""))</f>
        <v>2.020633171683428</v>
      </c>
    </row>
  </sheetData>
  <sortState xmlns:xlrd2="http://schemas.microsoft.com/office/spreadsheetml/2017/richdata2" ref="A2:E79">
    <sortCondition descending="1" ref="E2:E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2026-05-05T18:09:26Z</dcterms:created>
  <dcterms:modified xsi:type="dcterms:W3CDTF">2026-05-06T07:10:01Z</dcterms:modified>
  <cp:category/>
  <cp:contentStatus/>
</cp:coreProperties>
</file>